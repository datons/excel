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ota/repos/datons/excel/examples/settlement/"/>
    </mc:Choice>
  </mc:AlternateContent>
  <xr:revisionPtr revIDLastSave="0" documentId="11_F986D1BD58B48FE16C6B1B6285CC0AE1D725702B" xr6:coauthVersionLast="47" xr6:coauthVersionMax="47" xr10:uidLastSave="{00000000-0000-0000-0000-000000000000}"/>
  <bookViews>
    <workbookView xWindow="0" yWindow="660" windowWidth="30240" windowHeight="18980" activeTab="3" xr2:uid="{00000000-000D-0000-FFFF-FFFF00000000}"/>
  </bookViews>
  <sheets>
    <sheet name="Parametros" sheetId="1" r:id="rId1"/>
    <sheet name="Medidas" sheetId="2" r:id="rId2"/>
    <sheet name="Precios" sheetId="3" r:id="rId3"/>
    <sheet name="Liquidac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8" i="2" l="1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B4" i="1"/>
</calcChain>
</file>

<file path=xl/sharedStrings.xml><?xml version="1.0" encoding="utf-8"?>
<sst xmlns="http://schemas.openxmlformats.org/spreadsheetml/2006/main" count="21" uniqueCount="17">
  <si>
    <t>Parámetro</t>
  </si>
  <si>
    <t>Valor</t>
  </si>
  <si>
    <t>Nota</t>
  </si>
  <si>
    <t>Pérdidas</t>
  </si>
  <si>
    <t>Coeficiente que se suma a la energía medida</t>
  </si>
  <si>
    <t>Peaje (€/MWh)</t>
  </si>
  <si>
    <t>Se suma al precio de cada hora</t>
  </si>
  <si>
    <t>Pérdidas en %</t>
  </si>
  <si>
    <t>Fecha</t>
  </si>
  <si>
    <t>Hora</t>
  </si>
  <si>
    <t>Energia_kWh</t>
  </si>
  <si>
    <t>Energia_MWh</t>
  </si>
  <si>
    <t>Precio_EUR_MWh</t>
  </si>
  <si>
    <t>Horas</t>
  </si>
  <si>
    <t>Horas_estimadas</t>
  </si>
  <si>
    <t>Aviso</t>
  </si>
  <si>
    <t>Importe_EUR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</si>
</sst>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zoomScale="200" workbookViewId="0"/>
  </sheetViews>
  <sheetFormatPr baseColWidth="10" defaultColWidth="8.83203125" defaultRowHeight="15" x14ac:dyDescent="0.2"/>
  <cols>
    <col min="1" max="1" width="18.6640625" customWidth="1"/>
    <col min="3" max="3" width="44.6640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s="2">
        <v>4.4999999999999998E-2</v>
      </c>
      <c r="C2" t="s">
        <v>4</v>
      </c>
    </row>
    <row r="3" spans="1:3" x14ac:dyDescent="0.2">
      <c r="A3" t="s">
        <v>5</v>
      </c>
      <c r="B3">
        <v>12.35</v>
      </c>
      <c r="C3" t="s">
        <v>6</v>
      </c>
    </row>
    <row r="4" spans="1:3" x14ac:dyDescent="0.2">
      <c r="A4" t="s">
        <v>7</v>
      </c>
      <c r="B4">
        <f>B2*100</f>
        <v>4.5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8"/>
  <sheetViews>
    <sheetView workbookViewId="0"/>
  </sheetViews>
  <sheetFormatPr baseColWidth="10" defaultColWidth="8.83203125" defaultRowHeight="15" x14ac:dyDescent="0.2"/>
  <cols>
    <col min="1" max="1" width="12.6640625" customWidth="1"/>
    <col min="2" max="4" width="14.6640625" customWidth="1"/>
  </cols>
  <sheetData>
    <row r="1" spans="1:4" x14ac:dyDescent="0.2">
      <c r="A1" s="1" t="s">
        <v>8</v>
      </c>
      <c r="B1" s="1" t="s">
        <v>9</v>
      </c>
      <c r="C1" s="1" t="s">
        <v>10</v>
      </c>
      <c r="D1" s="1" t="s">
        <v>11</v>
      </c>
    </row>
    <row r="2" spans="1:4" x14ac:dyDescent="0.2">
      <c r="A2" s="3">
        <v>46319</v>
      </c>
      <c r="B2">
        <v>1</v>
      </c>
      <c r="C2">
        <v>4.2</v>
      </c>
      <c r="D2">
        <f t="shared" ref="D2:D33" si="0">C2/1000</f>
        <v>4.2000000000000006E-3</v>
      </c>
    </row>
    <row r="3" spans="1:4" x14ac:dyDescent="0.2">
      <c r="A3" s="3">
        <v>46319</v>
      </c>
      <c r="B3">
        <v>2</v>
      </c>
      <c r="C3">
        <v>4.2</v>
      </c>
      <c r="D3">
        <f t="shared" si="0"/>
        <v>4.2000000000000006E-3</v>
      </c>
    </row>
    <row r="4" spans="1:4" x14ac:dyDescent="0.2">
      <c r="A4" s="3">
        <v>46319</v>
      </c>
      <c r="B4">
        <v>3</v>
      </c>
      <c r="C4">
        <v>4.2</v>
      </c>
      <c r="D4">
        <f t="shared" si="0"/>
        <v>4.2000000000000006E-3</v>
      </c>
    </row>
    <row r="5" spans="1:4" x14ac:dyDescent="0.2">
      <c r="A5" s="3">
        <v>46319</v>
      </c>
      <c r="B5">
        <v>4</v>
      </c>
      <c r="C5">
        <v>4.2</v>
      </c>
      <c r="D5">
        <f t="shared" si="0"/>
        <v>4.2000000000000006E-3</v>
      </c>
    </row>
    <row r="6" spans="1:4" x14ac:dyDescent="0.2">
      <c r="A6" s="3">
        <v>46319</v>
      </c>
      <c r="B6">
        <v>5</v>
      </c>
      <c r="C6">
        <v>4.2</v>
      </c>
      <c r="D6">
        <f t="shared" si="0"/>
        <v>4.2000000000000006E-3</v>
      </c>
    </row>
    <row r="7" spans="1:4" x14ac:dyDescent="0.2">
      <c r="A7" s="3">
        <v>46319</v>
      </c>
      <c r="B7">
        <v>6</v>
      </c>
      <c r="C7">
        <v>4.2</v>
      </c>
      <c r="D7">
        <f t="shared" si="0"/>
        <v>4.2000000000000006E-3</v>
      </c>
    </row>
    <row r="8" spans="1:4" x14ac:dyDescent="0.2">
      <c r="A8" s="3">
        <v>46319</v>
      </c>
      <c r="B8">
        <v>7</v>
      </c>
      <c r="C8">
        <v>4.2</v>
      </c>
      <c r="D8">
        <f t="shared" si="0"/>
        <v>4.2000000000000006E-3</v>
      </c>
    </row>
    <row r="9" spans="1:4" x14ac:dyDescent="0.2">
      <c r="A9" s="3">
        <v>46319</v>
      </c>
      <c r="B9">
        <v>8</v>
      </c>
      <c r="C9">
        <v>250.596</v>
      </c>
      <c r="D9">
        <f t="shared" si="0"/>
        <v>0.25059599999999999</v>
      </c>
    </row>
    <row r="10" spans="1:4" x14ac:dyDescent="0.2">
      <c r="A10" s="3">
        <v>46319</v>
      </c>
      <c r="B10">
        <v>9</v>
      </c>
      <c r="C10">
        <v>480.2</v>
      </c>
      <c r="D10">
        <f t="shared" si="0"/>
        <v>0.48020000000000002</v>
      </c>
    </row>
    <row r="11" spans="1:4" x14ac:dyDescent="0.2">
      <c r="A11" s="3">
        <v>46319</v>
      </c>
      <c r="B11">
        <v>10</v>
      </c>
      <c r="C11">
        <v>677.36599999999999</v>
      </c>
      <c r="D11">
        <f t="shared" si="0"/>
        <v>0.67736600000000002</v>
      </c>
    </row>
    <row r="12" spans="1:4" x14ac:dyDescent="0.2">
      <c r="A12" s="3">
        <v>46319</v>
      </c>
      <c r="B12">
        <v>11</v>
      </c>
      <c r="C12">
        <v>828.65599999999995</v>
      </c>
      <c r="D12">
        <f t="shared" si="0"/>
        <v>0.82865599999999995</v>
      </c>
    </row>
    <row r="13" spans="1:4" x14ac:dyDescent="0.2">
      <c r="A13" s="3">
        <v>46319</v>
      </c>
      <c r="B13">
        <v>12</v>
      </c>
      <c r="C13">
        <v>923.76099999999997</v>
      </c>
      <c r="D13">
        <f t="shared" si="0"/>
        <v>0.92376099999999994</v>
      </c>
    </row>
    <row r="14" spans="1:4" x14ac:dyDescent="0.2">
      <c r="A14" s="3">
        <v>46319</v>
      </c>
      <c r="B14">
        <v>13</v>
      </c>
      <c r="C14">
        <v>956.2</v>
      </c>
      <c r="D14">
        <f t="shared" si="0"/>
        <v>0.95620000000000005</v>
      </c>
    </row>
    <row r="15" spans="1:4" x14ac:dyDescent="0.2">
      <c r="A15" s="3">
        <v>46319</v>
      </c>
      <c r="B15">
        <v>14</v>
      </c>
      <c r="C15">
        <v>923.76099999999997</v>
      </c>
      <c r="D15">
        <f t="shared" si="0"/>
        <v>0.92376099999999994</v>
      </c>
    </row>
    <row r="16" spans="1:4" x14ac:dyDescent="0.2">
      <c r="A16" s="3">
        <v>46319</v>
      </c>
      <c r="B16">
        <v>15</v>
      </c>
      <c r="C16">
        <v>828.65599999999995</v>
      </c>
      <c r="D16">
        <f t="shared" si="0"/>
        <v>0.82865599999999995</v>
      </c>
    </row>
    <row r="17" spans="1:4" x14ac:dyDescent="0.2">
      <c r="A17" s="3">
        <v>46319</v>
      </c>
      <c r="B17">
        <v>16</v>
      </c>
      <c r="C17">
        <v>677.36599999999999</v>
      </c>
      <c r="D17">
        <f t="shared" si="0"/>
        <v>0.67736600000000002</v>
      </c>
    </row>
    <row r="18" spans="1:4" x14ac:dyDescent="0.2">
      <c r="A18" s="3">
        <v>46319</v>
      </c>
      <c r="B18">
        <v>17</v>
      </c>
      <c r="C18">
        <v>480.2</v>
      </c>
      <c r="D18">
        <f t="shared" si="0"/>
        <v>0.48020000000000002</v>
      </c>
    </row>
    <row r="19" spans="1:4" x14ac:dyDescent="0.2">
      <c r="A19" s="3">
        <v>46319</v>
      </c>
      <c r="B19">
        <v>18</v>
      </c>
      <c r="C19">
        <v>250.596</v>
      </c>
      <c r="D19">
        <f t="shared" si="0"/>
        <v>0.25059599999999999</v>
      </c>
    </row>
    <row r="20" spans="1:4" x14ac:dyDescent="0.2">
      <c r="A20" s="3">
        <v>46319</v>
      </c>
      <c r="B20">
        <v>19</v>
      </c>
      <c r="C20">
        <v>4.2</v>
      </c>
      <c r="D20">
        <f t="shared" si="0"/>
        <v>4.2000000000000006E-3</v>
      </c>
    </row>
    <row r="21" spans="1:4" x14ac:dyDescent="0.2">
      <c r="A21" s="3">
        <v>46319</v>
      </c>
      <c r="B21">
        <v>20</v>
      </c>
      <c r="C21">
        <v>4.2</v>
      </c>
      <c r="D21">
        <f t="shared" si="0"/>
        <v>4.2000000000000006E-3</v>
      </c>
    </row>
    <row r="22" spans="1:4" x14ac:dyDescent="0.2">
      <c r="A22" s="3">
        <v>46319</v>
      </c>
      <c r="B22">
        <v>21</v>
      </c>
      <c r="C22">
        <v>4.2</v>
      </c>
      <c r="D22">
        <f t="shared" si="0"/>
        <v>4.2000000000000006E-3</v>
      </c>
    </row>
    <row r="23" spans="1:4" x14ac:dyDescent="0.2">
      <c r="A23" s="3">
        <v>46319</v>
      </c>
      <c r="B23">
        <v>22</v>
      </c>
      <c r="C23">
        <v>4.2</v>
      </c>
      <c r="D23">
        <f t="shared" si="0"/>
        <v>4.2000000000000006E-3</v>
      </c>
    </row>
    <row r="24" spans="1:4" x14ac:dyDescent="0.2">
      <c r="A24" s="3">
        <v>46319</v>
      </c>
      <c r="B24">
        <v>23</v>
      </c>
      <c r="C24">
        <v>4.2</v>
      </c>
      <c r="D24">
        <f t="shared" si="0"/>
        <v>4.2000000000000006E-3</v>
      </c>
    </row>
    <row r="25" spans="1:4" x14ac:dyDescent="0.2">
      <c r="A25" s="3">
        <v>46319</v>
      </c>
      <c r="B25">
        <v>24</v>
      </c>
      <c r="C25">
        <v>4.2</v>
      </c>
      <c r="D25">
        <f t="shared" si="0"/>
        <v>4.2000000000000006E-3</v>
      </c>
    </row>
    <row r="26" spans="1:4" x14ac:dyDescent="0.2">
      <c r="A26" s="3">
        <v>46320</v>
      </c>
      <c r="B26">
        <v>1</v>
      </c>
      <c r="C26">
        <v>4.2</v>
      </c>
      <c r="D26">
        <f t="shared" si="0"/>
        <v>4.2000000000000006E-3</v>
      </c>
    </row>
    <row r="27" spans="1:4" x14ac:dyDescent="0.2">
      <c r="A27" s="3">
        <v>46320</v>
      </c>
      <c r="B27">
        <v>2</v>
      </c>
      <c r="C27">
        <v>4.2</v>
      </c>
      <c r="D27">
        <f t="shared" si="0"/>
        <v>4.2000000000000006E-3</v>
      </c>
    </row>
    <row r="28" spans="1:4" x14ac:dyDescent="0.2">
      <c r="A28" s="3">
        <v>46320</v>
      </c>
      <c r="B28">
        <v>3</v>
      </c>
      <c r="C28">
        <v>4.2</v>
      </c>
      <c r="D28">
        <f t="shared" si="0"/>
        <v>4.2000000000000006E-3</v>
      </c>
    </row>
    <row r="29" spans="1:4" x14ac:dyDescent="0.2">
      <c r="A29" s="3">
        <v>46320</v>
      </c>
      <c r="B29">
        <v>4</v>
      </c>
      <c r="C29">
        <v>4.2</v>
      </c>
      <c r="D29">
        <f t="shared" si="0"/>
        <v>4.2000000000000006E-3</v>
      </c>
    </row>
    <row r="30" spans="1:4" x14ac:dyDescent="0.2">
      <c r="A30" s="3">
        <v>46320</v>
      </c>
      <c r="B30">
        <v>5</v>
      </c>
      <c r="C30">
        <v>4.2</v>
      </c>
      <c r="D30">
        <f t="shared" si="0"/>
        <v>4.2000000000000006E-3</v>
      </c>
    </row>
    <row r="31" spans="1:4" x14ac:dyDescent="0.2">
      <c r="A31" s="3">
        <v>46320</v>
      </c>
      <c r="B31">
        <v>6</v>
      </c>
      <c r="C31">
        <v>4.2</v>
      </c>
      <c r="D31">
        <f t="shared" si="0"/>
        <v>4.2000000000000006E-3</v>
      </c>
    </row>
    <row r="32" spans="1:4" x14ac:dyDescent="0.2">
      <c r="A32" s="3">
        <v>46320</v>
      </c>
      <c r="B32">
        <v>7</v>
      </c>
      <c r="C32">
        <v>4.2</v>
      </c>
      <c r="D32">
        <f t="shared" si="0"/>
        <v>4.2000000000000006E-3</v>
      </c>
    </row>
    <row r="33" spans="1:4" x14ac:dyDescent="0.2">
      <c r="A33" s="3">
        <v>46320</v>
      </c>
      <c r="B33">
        <v>8</v>
      </c>
      <c r="C33">
        <v>224.196</v>
      </c>
      <c r="D33">
        <f t="shared" si="0"/>
        <v>0.22419600000000001</v>
      </c>
    </row>
    <row r="34" spans="1:4" x14ac:dyDescent="0.2">
      <c r="A34" s="3">
        <v>46320</v>
      </c>
      <c r="B34">
        <v>9</v>
      </c>
      <c r="C34">
        <v>429.2</v>
      </c>
      <c r="D34">
        <f t="shared" ref="D34:D65" si="1">C34/1000</f>
        <v>0.42919999999999997</v>
      </c>
    </row>
    <row r="35" spans="1:4" x14ac:dyDescent="0.2">
      <c r="A35" s="3">
        <v>46320</v>
      </c>
      <c r="B35">
        <v>10</v>
      </c>
      <c r="C35">
        <v>605.24099999999999</v>
      </c>
      <c r="D35">
        <f t="shared" si="1"/>
        <v>0.60524100000000003</v>
      </c>
    </row>
    <row r="36" spans="1:4" x14ac:dyDescent="0.2">
      <c r="A36" s="3">
        <v>46320</v>
      </c>
      <c r="B36">
        <v>11</v>
      </c>
      <c r="C36">
        <v>740.322</v>
      </c>
      <c r="D36">
        <f t="shared" si="1"/>
        <v>0.74032200000000004</v>
      </c>
    </row>
    <row r="37" spans="1:4" x14ac:dyDescent="0.2">
      <c r="A37" s="3">
        <v>46320</v>
      </c>
      <c r="B37">
        <v>12</v>
      </c>
      <c r="C37">
        <v>825.23699999999997</v>
      </c>
      <c r="D37">
        <f t="shared" si="1"/>
        <v>0.825237</v>
      </c>
    </row>
    <row r="38" spans="1:4" x14ac:dyDescent="0.2">
      <c r="A38" s="3">
        <v>46320</v>
      </c>
      <c r="B38">
        <v>13</v>
      </c>
      <c r="C38">
        <v>854.2</v>
      </c>
      <c r="D38">
        <f t="shared" si="1"/>
        <v>0.85420000000000007</v>
      </c>
    </row>
    <row r="39" spans="1:4" x14ac:dyDescent="0.2">
      <c r="A39" s="3">
        <v>46320</v>
      </c>
      <c r="B39">
        <v>14</v>
      </c>
      <c r="C39">
        <v>825.23699999999997</v>
      </c>
      <c r="D39">
        <f t="shared" si="1"/>
        <v>0.825237</v>
      </c>
    </row>
    <row r="40" spans="1:4" x14ac:dyDescent="0.2">
      <c r="A40" s="3">
        <v>46320</v>
      </c>
      <c r="B40">
        <v>15</v>
      </c>
      <c r="C40">
        <v>740.322</v>
      </c>
      <c r="D40">
        <f t="shared" si="1"/>
        <v>0.74032200000000004</v>
      </c>
    </row>
    <row r="41" spans="1:4" x14ac:dyDescent="0.2">
      <c r="A41" s="3">
        <v>46320</v>
      </c>
      <c r="B41">
        <v>16</v>
      </c>
      <c r="C41">
        <v>605.24099999999999</v>
      </c>
      <c r="D41">
        <f t="shared" si="1"/>
        <v>0.60524100000000003</v>
      </c>
    </row>
    <row r="42" spans="1:4" x14ac:dyDescent="0.2">
      <c r="A42" s="3">
        <v>46320</v>
      </c>
      <c r="B42">
        <v>17</v>
      </c>
      <c r="C42">
        <v>429.2</v>
      </c>
      <c r="D42">
        <f t="shared" si="1"/>
        <v>0.42919999999999997</v>
      </c>
    </row>
    <row r="43" spans="1:4" x14ac:dyDescent="0.2">
      <c r="A43" s="3">
        <v>46320</v>
      </c>
      <c r="B43">
        <v>18</v>
      </c>
      <c r="C43">
        <v>224.196</v>
      </c>
      <c r="D43">
        <f t="shared" si="1"/>
        <v>0.22419600000000001</v>
      </c>
    </row>
    <row r="44" spans="1:4" x14ac:dyDescent="0.2">
      <c r="A44" s="3">
        <v>46320</v>
      </c>
      <c r="B44">
        <v>19</v>
      </c>
      <c r="C44">
        <v>4.2</v>
      </c>
      <c r="D44">
        <f t="shared" si="1"/>
        <v>4.2000000000000006E-3</v>
      </c>
    </row>
    <row r="45" spans="1:4" x14ac:dyDescent="0.2">
      <c r="A45" s="3">
        <v>46320</v>
      </c>
      <c r="B45">
        <v>20</v>
      </c>
      <c r="C45">
        <v>4.2</v>
      </c>
      <c r="D45">
        <f t="shared" si="1"/>
        <v>4.2000000000000006E-3</v>
      </c>
    </row>
    <row r="46" spans="1:4" x14ac:dyDescent="0.2">
      <c r="A46" s="3">
        <v>46320</v>
      </c>
      <c r="B46">
        <v>21</v>
      </c>
      <c r="C46">
        <v>4.2</v>
      </c>
      <c r="D46">
        <f t="shared" si="1"/>
        <v>4.2000000000000006E-3</v>
      </c>
    </row>
    <row r="47" spans="1:4" x14ac:dyDescent="0.2">
      <c r="A47" s="3">
        <v>46320</v>
      </c>
      <c r="B47">
        <v>22</v>
      </c>
      <c r="C47">
        <v>4.2</v>
      </c>
      <c r="D47">
        <f t="shared" si="1"/>
        <v>4.2000000000000006E-3</v>
      </c>
    </row>
    <row r="48" spans="1:4" x14ac:dyDescent="0.2">
      <c r="A48" s="3">
        <v>46320</v>
      </c>
      <c r="B48">
        <v>23</v>
      </c>
      <c r="C48">
        <v>4.2</v>
      </c>
      <c r="D48">
        <f t="shared" si="1"/>
        <v>4.2000000000000006E-3</v>
      </c>
    </row>
    <row r="49" spans="1:4" x14ac:dyDescent="0.2">
      <c r="A49" s="3">
        <v>46320</v>
      </c>
      <c r="B49">
        <v>24</v>
      </c>
      <c r="C49">
        <v>4.2</v>
      </c>
      <c r="D49">
        <f t="shared" si="1"/>
        <v>4.2000000000000006E-3</v>
      </c>
    </row>
    <row r="50" spans="1:4" x14ac:dyDescent="0.2">
      <c r="A50" s="3">
        <v>46320</v>
      </c>
      <c r="B50">
        <v>25</v>
      </c>
      <c r="C50">
        <v>4.2</v>
      </c>
      <c r="D50">
        <f t="shared" si="1"/>
        <v>4.2000000000000006E-3</v>
      </c>
    </row>
    <row r="51" spans="1:4" x14ac:dyDescent="0.2">
      <c r="A51" s="3">
        <v>46321</v>
      </c>
      <c r="B51">
        <v>1</v>
      </c>
      <c r="C51">
        <v>4.2</v>
      </c>
      <c r="D51">
        <f t="shared" si="1"/>
        <v>4.2000000000000006E-3</v>
      </c>
    </row>
    <row r="52" spans="1:4" x14ac:dyDescent="0.2">
      <c r="A52" s="3">
        <v>46321</v>
      </c>
      <c r="B52">
        <v>2</v>
      </c>
      <c r="C52">
        <v>4.2</v>
      </c>
      <c r="D52">
        <f t="shared" si="1"/>
        <v>4.2000000000000006E-3</v>
      </c>
    </row>
    <row r="53" spans="1:4" x14ac:dyDescent="0.2">
      <c r="A53" s="3">
        <v>46321</v>
      </c>
      <c r="B53">
        <v>3</v>
      </c>
      <c r="C53">
        <v>4.2</v>
      </c>
      <c r="D53">
        <f t="shared" si="1"/>
        <v>4.2000000000000006E-3</v>
      </c>
    </row>
    <row r="54" spans="1:4" x14ac:dyDescent="0.2">
      <c r="A54" s="3">
        <v>46321</v>
      </c>
      <c r="B54">
        <v>4</v>
      </c>
      <c r="C54">
        <v>4.2</v>
      </c>
      <c r="D54">
        <f t="shared" si="1"/>
        <v>4.2000000000000006E-3</v>
      </c>
    </row>
    <row r="55" spans="1:4" x14ac:dyDescent="0.2">
      <c r="A55" s="3">
        <v>46321</v>
      </c>
      <c r="B55">
        <v>5</v>
      </c>
      <c r="C55">
        <v>4.2</v>
      </c>
      <c r="D55">
        <f t="shared" si="1"/>
        <v>4.2000000000000006E-3</v>
      </c>
    </row>
    <row r="56" spans="1:4" x14ac:dyDescent="0.2">
      <c r="A56" s="3">
        <v>46321</v>
      </c>
      <c r="B56">
        <v>6</v>
      </c>
      <c r="C56">
        <v>4.2</v>
      </c>
      <c r="D56">
        <f t="shared" si="1"/>
        <v>4.2000000000000006E-3</v>
      </c>
    </row>
    <row r="57" spans="1:4" x14ac:dyDescent="0.2">
      <c r="A57" s="3">
        <v>46321</v>
      </c>
      <c r="B57">
        <v>7</v>
      </c>
      <c r="C57">
        <v>4.2</v>
      </c>
      <c r="D57">
        <f t="shared" si="1"/>
        <v>4.2000000000000006E-3</v>
      </c>
    </row>
    <row r="58" spans="1:4" x14ac:dyDescent="0.2">
      <c r="A58" s="3">
        <v>46321</v>
      </c>
      <c r="B58">
        <v>8</v>
      </c>
      <c r="C58">
        <v>230.79599999999999</v>
      </c>
      <c r="D58">
        <f t="shared" si="1"/>
        <v>0.230796</v>
      </c>
    </row>
    <row r="59" spans="1:4" x14ac:dyDescent="0.2">
      <c r="A59" s="3">
        <v>46321</v>
      </c>
      <c r="B59">
        <v>9</v>
      </c>
      <c r="D59">
        <f t="shared" si="1"/>
        <v>0</v>
      </c>
    </row>
    <row r="60" spans="1:4" x14ac:dyDescent="0.2">
      <c r="A60" s="3">
        <v>46321</v>
      </c>
      <c r="B60">
        <v>10</v>
      </c>
      <c r="D60">
        <f t="shared" si="1"/>
        <v>0</v>
      </c>
    </row>
    <row r="61" spans="1:4" x14ac:dyDescent="0.2">
      <c r="A61" s="3">
        <v>46321</v>
      </c>
      <c r="B61">
        <v>11</v>
      </c>
      <c r="C61">
        <v>762.40499999999997</v>
      </c>
      <c r="D61">
        <f t="shared" si="1"/>
        <v>0.762405</v>
      </c>
    </row>
    <row r="62" spans="1:4" x14ac:dyDescent="0.2">
      <c r="A62" s="3">
        <v>46321</v>
      </c>
      <c r="B62">
        <v>12</v>
      </c>
      <c r="C62">
        <v>849.86800000000005</v>
      </c>
      <c r="D62">
        <f t="shared" si="1"/>
        <v>0.84986800000000007</v>
      </c>
    </row>
    <row r="63" spans="1:4" x14ac:dyDescent="0.2">
      <c r="A63" s="3">
        <v>46321</v>
      </c>
      <c r="B63">
        <v>13</v>
      </c>
      <c r="C63">
        <v>879.7</v>
      </c>
      <c r="D63">
        <f t="shared" si="1"/>
        <v>0.87970000000000004</v>
      </c>
    </row>
    <row r="64" spans="1:4" x14ac:dyDescent="0.2">
      <c r="A64" s="3">
        <v>46321</v>
      </c>
      <c r="B64">
        <v>14</v>
      </c>
      <c r="C64">
        <v>849.86800000000005</v>
      </c>
      <c r="D64">
        <f t="shared" si="1"/>
        <v>0.84986800000000007</v>
      </c>
    </row>
    <row r="65" spans="1:4" x14ac:dyDescent="0.2">
      <c r="A65" s="3">
        <v>46321</v>
      </c>
      <c r="B65">
        <v>15</v>
      </c>
      <c r="C65">
        <v>762.40499999999997</v>
      </c>
      <c r="D65">
        <f t="shared" si="1"/>
        <v>0.762405</v>
      </c>
    </row>
    <row r="66" spans="1:4" x14ac:dyDescent="0.2">
      <c r="A66" s="3">
        <v>46321</v>
      </c>
      <c r="B66">
        <v>16</v>
      </c>
      <c r="C66">
        <v>623.27200000000005</v>
      </c>
      <c r="D66">
        <f t="shared" ref="D66:D97" si="2">C66/1000</f>
        <v>0.62327200000000005</v>
      </c>
    </row>
    <row r="67" spans="1:4" x14ac:dyDescent="0.2">
      <c r="A67" s="3">
        <v>46321</v>
      </c>
      <c r="B67">
        <v>17</v>
      </c>
      <c r="C67">
        <v>441.95</v>
      </c>
      <c r="D67">
        <f t="shared" si="2"/>
        <v>0.44195000000000001</v>
      </c>
    </row>
    <row r="68" spans="1:4" x14ac:dyDescent="0.2">
      <c r="A68" s="3">
        <v>46321</v>
      </c>
      <c r="B68">
        <v>18</v>
      </c>
      <c r="C68">
        <v>230.79599999999999</v>
      </c>
      <c r="D68">
        <f t="shared" si="2"/>
        <v>0.230796</v>
      </c>
    </row>
    <row r="69" spans="1:4" x14ac:dyDescent="0.2">
      <c r="A69" s="3">
        <v>46321</v>
      </c>
      <c r="B69">
        <v>19</v>
      </c>
      <c r="C69">
        <v>4.2</v>
      </c>
      <c r="D69">
        <f t="shared" si="2"/>
        <v>4.2000000000000006E-3</v>
      </c>
    </row>
    <row r="70" spans="1:4" x14ac:dyDescent="0.2">
      <c r="A70" s="3">
        <v>46321</v>
      </c>
      <c r="B70">
        <v>20</v>
      </c>
      <c r="C70">
        <v>4.2</v>
      </c>
      <c r="D70">
        <f t="shared" si="2"/>
        <v>4.2000000000000006E-3</v>
      </c>
    </row>
    <row r="71" spans="1:4" x14ac:dyDescent="0.2">
      <c r="A71" s="3">
        <v>46321</v>
      </c>
      <c r="B71">
        <v>21</v>
      </c>
      <c r="C71">
        <v>4.2</v>
      </c>
      <c r="D71">
        <f t="shared" si="2"/>
        <v>4.2000000000000006E-3</v>
      </c>
    </row>
    <row r="72" spans="1:4" x14ac:dyDescent="0.2">
      <c r="A72" s="3">
        <v>46321</v>
      </c>
      <c r="B72">
        <v>22</v>
      </c>
      <c r="C72">
        <v>4.2</v>
      </c>
      <c r="D72">
        <f t="shared" si="2"/>
        <v>4.2000000000000006E-3</v>
      </c>
    </row>
    <row r="73" spans="1:4" x14ac:dyDescent="0.2">
      <c r="A73" s="3">
        <v>46321</v>
      </c>
      <c r="B73">
        <v>23</v>
      </c>
      <c r="C73">
        <v>4.2</v>
      </c>
      <c r="D73">
        <f t="shared" si="2"/>
        <v>4.2000000000000006E-3</v>
      </c>
    </row>
    <row r="74" spans="1:4" x14ac:dyDescent="0.2">
      <c r="A74" s="3">
        <v>46321</v>
      </c>
      <c r="B74">
        <v>24</v>
      </c>
      <c r="C74">
        <v>4.2</v>
      </c>
      <c r="D74">
        <f t="shared" si="2"/>
        <v>4.2000000000000006E-3</v>
      </c>
    </row>
    <row r="75" spans="1:4" x14ac:dyDescent="0.2">
      <c r="A75" s="3">
        <v>46322</v>
      </c>
      <c r="B75">
        <v>1</v>
      </c>
      <c r="D75">
        <f t="shared" si="2"/>
        <v>0</v>
      </c>
    </row>
    <row r="76" spans="1:4" x14ac:dyDescent="0.2">
      <c r="A76" s="3">
        <v>46322</v>
      </c>
      <c r="B76">
        <v>2</v>
      </c>
      <c r="D76">
        <f t="shared" si="2"/>
        <v>0</v>
      </c>
    </row>
    <row r="77" spans="1:4" x14ac:dyDescent="0.2">
      <c r="A77" s="3">
        <v>46322</v>
      </c>
      <c r="B77">
        <v>3</v>
      </c>
      <c r="D77">
        <f t="shared" si="2"/>
        <v>0</v>
      </c>
    </row>
    <row r="78" spans="1:4" x14ac:dyDescent="0.2">
      <c r="A78" s="3">
        <v>46322</v>
      </c>
      <c r="B78">
        <v>4</v>
      </c>
      <c r="D78">
        <f t="shared" si="2"/>
        <v>0</v>
      </c>
    </row>
    <row r="79" spans="1:4" x14ac:dyDescent="0.2">
      <c r="A79" s="3">
        <v>46322</v>
      </c>
      <c r="B79">
        <v>5</v>
      </c>
      <c r="D79">
        <f t="shared" si="2"/>
        <v>0</v>
      </c>
    </row>
    <row r="80" spans="1:4" x14ac:dyDescent="0.2">
      <c r="A80" s="3">
        <v>46322</v>
      </c>
      <c r="B80">
        <v>6</v>
      </c>
      <c r="D80">
        <f t="shared" si="2"/>
        <v>0</v>
      </c>
    </row>
    <row r="81" spans="1:4" x14ac:dyDescent="0.2">
      <c r="A81" s="3">
        <v>46322</v>
      </c>
      <c r="B81">
        <v>7</v>
      </c>
      <c r="D81">
        <f t="shared" si="2"/>
        <v>0</v>
      </c>
    </row>
    <row r="82" spans="1:4" x14ac:dyDescent="0.2">
      <c r="A82" s="3">
        <v>46322</v>
      </c>
      <c r="B82">
        <v>8</v>
      </c>
      <c r="D82">
        <f t="shared" si="2"/>
        <v>0</v>
      </c>
    </row>
    <row r="83" spans="1:4" x14ac:dyDescent="0.2">
      <c r="A83" s="3">
        <v>46322</v>
      </c>
      <c r="B83">
        <v>9</v>
      </c>
      <c r="D83">
        <f t="shared" si="2"/>
        <v>0</v>
      </c>
    </row>
    <row r="84" spans="1:4" x14ac:dyDescent="0.2">
      <c r="A84" s="3">
        <v>46322</v>
      </c>
      <c r="B84">
        <v>10</v>
      </c>
      <c r="D84">
        <f t="shared" si="2"/>
        <v>0</v>
      </c>
    </row>
    <row r="85" spans="1:4" x14ac:dyDescent="0.2">
      <c r="A85" s="3">
        <v>46322</v>
      </c>
      <c r="B85">
        <v>11</v>
      </c>
      <c r="D85">
        <f t="shared" si="2"/>
        <v>0</v>
      </c>
    </row>
    <row r="86" spans="1:4" x14ac:dyDescent="0.2">
      <c r="A86" s="3">
        <v>46322</v>
      </c>
      <c r="B86">
        <v>12</v>
      </c>
      <c r="D86">
        <f t="shared" si="2"/>
        <v>0</v>
      </c>
    </row>
    <row r="87" spans="1:4" x14ac:dyDescent="0.2">
      <c r="A87" s="3">
        <v>46322</v>
      </c>
      <c r="B87">
        <v>13</v>
      </c>
      <c r="D87">
        <f t="shared" si="2"/>
        <v>0</v>
      </c>
    </row>
    <row r="88" spans="1:4" x14ac:dyDescent="0.2">
      <c r="A88" s="3">
        <v>46322</v>
      </c>
      <c r="B88">
        <v>14</v>
      </c>
      <c r="D88">
        <f t="shared" si="2"/>
        <v>0</v>
      </c>
    </row>
    <row r="89" spans="1:4" x14ac:dyDescent="0.2">
      <c r="A89" s="3">
        <v>46322</v>
      </c>
      <c r="B89">
        <v>15</v>
      </c>
      <c r="D89">
        <f t="shared" si="2"/>
        <v>0</v>
      </c>
    </row>
    <row r="90" spans="1:4" x14ac:dyDescent="0.2">
      <c r="A90" s="3">
        <v>46322</v>
      </c>
      <c r="B90">
        <v>16</v>
      </c>
      <c r="D90">
        <f t="shared" si="2"/>
        <v>0</v>
      </c>
    </row>
    <row r="91" spans="1:4" x14ac:dyDescent="0.2">
      <c r="A91" s="3">
        <v>46322</v>
      </c>
      <c r="B91">
        <v>17</v>
      </c>
      <c r="D91">
        <f t="shared" si="2"/>
        <v>0</v>
      </c>
    </row>
    <row r="92" spans="1:4" x14ac:dyDescent="0.2">
      <c r="A92" s="3">
        <v>46322</v>
      </c>
      <c r="B92">
        <v>18</v>
      </c>
      <c r="D92">
        <f t="shared" si="2"/>
        <v>0</v>
      </c>
    </row>
    <row r="93" spans="1:4" x14ac:dyDescent="0.2">
      <c r="A93" s="3">
        <v>46322</v>
      </c>
      <c r="B93">
        <v>19</v>
      </c>
      <c r="D93">
        <f t="shared" si="2"/>
        <v>0</v>
      </c>
    </row>
    <row r="94" spans="1:4" x14ac:dyDescent="0.2">
      <c r="A94" s="3">
        <v>46322</v>
      </c>
      <c r="B94">
        <v>20</v>
      </c>
      <c r="D94">
        <f t="shared" si="2"/>
        <v>0</v>
      </c>
    </row>
    <row r="95" spans="1:4" x14ac:dyDescent="0.2">
      <c r="A95" s="3">
        <v>46322</v>
      </c>
      <c r="B95">
        <v>21</v>
      </c>
      <c r="D95">
        <f t="shared" si="2"/>
        <v>0</v>
      </c>
    </row>
    <row r="96" spans="1:4" x14ac:dyDescent="0.2">
      <c r="A96" s="3">
        <v>46322</v>
      </c>
      <c r="B96">
        <v>22</v>
      </c>
      <c r="D96">
        <f t="shared" si="2"/>
        <v>0</v>
      </c>
    </row>
    <row r="97" spans="1:4" x14ac:dyDescent="0.2">
      <c r="A97" s="3">
        <v>46322</v>
      </c>
      <c r="B97">
        <v>23</v>
      </c>
      <c r="D97">
        <f t="shared" si="2"/>
        <v>0</v>
      </c>
    </row>
    <row r="98" spans="1:4" x14ac:dyDescent="0.2">
      <c r="A98" s="3">
        <v>46322</v>
      </c>
      <c r="B98">
        <v>24</v>
      </c>
      <c r="D98">
        <f t="shared" ref="D98:D129" si="3">C98/1000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7"/>
  <sheetViews>
    <sheetView workbookViewId="0"/>
  </sheetViews>
  <sheetFormatPr baseColWidth="10" defaultColWidth="8.83203125" defaultRowHeight="15" x14ac:dyDescent="0.2"/>
  <cols>
    <col min="1" max="1" width="12.6640625" customWidth="1"/>
    <col min="2" max="4" width="14.6640625" customWidth="1"/>
  </cols>
  <sheetData>
    <row r="1" spans="1:3" x14ac:dyDescent="0.2">
      <c r="A1" s="1" t="s">
        <v>8</v>
      </c>
      <c r="B1" s="1" t="s">
        <v>9</v>
      </c>
      <c r="C1" s="1" t="s">
        <v>12</v>
      </c>
    </row>
    <row r="2" spans="1:3" x14ac:dyDescent="0.2">
      <c r="A2" s="3">
        <v>46319</v>
      </c>
      <c r="B2">
        <v>1</v>
      </c>
      <c r="C2">
        <v>83.69</v>
      </c>
    </row>
    <row r="3" spans="1:3" x14ac:dyDescent="0.2">
      <c r="A3" s="3">
        <v>46319</v>
      </c>
      <c r="B3">
        <v>2</v>
      </c>
      <c r="C3">
        <v>78</v>
      </c>
    </row>
    <row r="4" spans="1:3" x14ac:dyDescent="0.2">
      <c r="A4" s="3">
        <v>46319</v>
      </c>
      <c r="B4">
        <v>3</v>
      </c>
      <c r="C4">
        <v>72.31</v>
      </c>
    </row>
    <row r="5" spans="1:3" x14ac:dyDescent="0.2">
      <c r="A5" s="3">
        <v>46319</v>
      </c>
      <c r="B5">
        <v>4</v>
      </c>
      <c r="C5">
        <v>67</v>
      </c>
    </row>
    <row r="6" spans="1:3" x14ac:dyDescent="0.2">
      <c r="A6" s="3">
        <v>46319</v>
      </c>
      <c r="B6">
        <v>5</v>
      </c>
      <c r="C6">
        <v>62.44</v>
      </c>
    </row>
    <row r="7" spans="1:3" x14ac:dyDescent="0.2">
      <c r="A7" s="3">
        <v>46319</v>
      </c>
      <c r="B7">
        <v>6</v>
      </c>
      <c r="C7">
        <v>58.95</v>
      </c>
    </row>
    <row r="8" spans="1:3" x14ac:dyDescent="0.2">
      <c r="A8" s="3">
        <v>46319</v>
      </c>
      <c r="B8">
        <v>7</v>
      </c>
      <c r="C8">
        <v>56.75</v>
      </c>
    </row>
    <row r="9" spans="1:3" x14ac:dyDescent="0.2">
      <c r="A9" s="3">
        <v>46319</v>
      </c>
      <c r="B9">
        <v>8</v>
      </c>
      <c r="C9">
        <v>56</v>
      </c>
    </row>
    <row r="10" spans="1:3" x14ac:dyDescent="0.2">
      <c r="A10" s="3">
        <v>46319</v>
      </c>
      <c r="B10">
        <v>9</v>
      </c>
      <c r="C10">
        <v>56.75</v>
      </c>
    </row>
    <row r="11" spans="1:3" x14ac:dyDescent="0.2">
      <c r="A11" s="3">
        <v>46319</v>
      </c>
      <c r="B11">
        <v>10</v>
      </c>
      <c r="C11">
        <v>58.95</v>
      </c>
    </row>
    <row r="12" spans="1:3" x14ac:dyDescent="0.2">
      <c r="A12" s="3">
        <v>46319</v>
      </c>
      <c r="B12">
        <v>11</v>
      </c>
      <c r="C12">
        <v>62.44</v>
      </c>
    </row>
    <row r="13" spans="1:3" x14ac:dyDescent="0.2">
      <c r="A13" s="3">
        <v>46319</v>
      </c>
      <c r="B13">
        <v>12</v>
      </c>
      <c r="C13">
        <v>67</v>
      </c>
    </row>
    <row r="14" spans="1:3" x14ac:dyDescent="0.2">
      <c r="A14" s="3">
        <v>46319</v>
      </c>
      <c r="B14">
        <v>13</v>
      </c>
      <c r="C14">
        <v>72.31</v>
      </c>
    </row>
    <row r="15" spans="1:3" x14ac:dyDescent="0.2">
      <c r="A15" s="3">
        <v>46319</v>
      </c>
      <c r="B15">
        <v>14</v>
      </c>
      <c r="C15">
        <v>78</v>
      </c>
    </row>
    <row r="16" spans="1:3" x14ac:dyDescent="0.2">
      <c r="A16" s="3">
        <v>46319</v>
      </c>
      <c r="B16">
        <v>15</v>
      </c>
      <c r="C16">
        <v>83.69</v>
      </c>
    </row>
    <row r="17" spans="1:3" x14ac:dyDescent="0.2">
      <c r="A17" s="3">
        <v>46319</v>
      </c>
      <c r="B17">
        <v>16</v>
      </c>
      <c r="C17">
        <v>89</v>
      </c>
    </row>
    <row r="18" spans="1:3" x14ac:dyDescent="0.2">
      <c r="A18" s="3">
        <v>46319</v>
      </c>
      <c r="B18">
        <v>17</v>
      </c>
      <c r="C18">
        <v>93.56</v>
      </c>
    </row>
    <row r="19" spans="1:3" x14ac:dyDescent="0.2">
      <c r="A19" s="3">
        <v>46319</v>
      </c>
      <c r="B19">
        <v>18</v>
      </c>
      <c r="C19">
        <v>97.05</v>
      </c>
    </row>
    <row r="20" spans="1:3" x14ac:dyDescent="0.2">
      <c r="A20" s="3">
        <v>46319</v>
      </c>
      <c r="B20">
        <v>19</v>
      </c>
      <c r="C20">
        <v>99.25</v>
      </c>
    </row>
    <row r="21" spans="1:3" x14ac:dyDescent="0.2">
      <c r="A21" s="3">
        <v>46319</v>
      </c>
      <c r="B21">
        <v>20</v>
      </c>
      <c r="C21">
        <v>100</v>
      </c>
    </row>
    <row r="22" spans="1:3" x14ac:dyDescent="0.2">
      <c r="A22" s="3">
        <v>46319</v>
      </c>
      <c r="B22">
        <v>21</v>
      </c>
      <c r="C22">
        <v>99.25</v>
      </c>
    </row>
    <row r="23" spans="1:3" x14ac:dyDescent="0.2">
      <c r="A23" s="3">
        <v>46319</v>
      </c>
      <c r="B23">
        <v>22</v>
      </c>
      <c r="C23">
        <v>97.05</v>
      </c>
    </row>
    <row r="24" spans="1:3" x14ac:dyDescent="0.2">
      <c r="A24" s="3">
        <v>46319</v>
      </c>
      <c r="B24">
        <v>23</v>
      </c>
      <c r="C24">
        <v>93.56</v>
      </c>
    </row>
    <row r="25" spans="1:3" x14ac:dyDescent="0.2">
      <c r="A25" s="3">
        <v>46319</v>
      </c>
      <c r="B25">
        <v>24</v>
      </c>
      <c r="C25">
        <v>89</v>
      </c>
    </row>
    <row r="26" spans="1:3" x14ac:dyDescent="0.2">
      <c r="A26" s="3">
        <v>46320</v>
      </c>
      <c r="B26">
        <v>1</v>
      </c>
      <c r="C26">
        <v>82.99</v>
      </c>
    </row>
    <row r="27" spans="1:3" x14ac:dyDescent="0.2">
      <c r="A27" s="3">
        <v>46320</v>
      </c>
      <c r="B27">
        <v>2</v>
      </c>
      <c r="C27">
        <v>77.3</v>
      </c>
    </row>
    <row r="28" spans="1:3" x14ac:dyDescent="0.2">
      <c r="A28" s="3">
        <v>46320</v>
      </c>
      <c r="B28">
        <v>3</v>
      </c>
      <c r="C28">
        <v>71.61</v>
      </c>
    </row>
    <row r="29" spans="1:3" x14ac:dyDescent="0.2">
      <c r="A29" s="3">
        <v>46320</v>
      </c>
      <c r="B29">
        <v>4</v>
      </c>
      <c r="C29">
        <v>66.3</v>
      </c>
    </row>
    <row r="30" spans="1:3" x14ac:dyDescent="0.2">
      <c r="A30" s="3">
        <v>46320</v>
      </c>
      <c r="B30">
        <v>5</v>
      </c>
      <c r="C30">
        <v>61.74</v>
      </c>
    </row>
    <row r="31" spans="1:3" x14ac:dyDescent="0.2">
      <c r="A31" s="3">
        <v>46320</v>
      </c>
      <c r="B31">
        <v>6</v>
      </c>
      <c r="C31">
        <v>58.25</v>
      </c>
    </row>
    <row r="32" spans="1:3" x14ac:dyDescent="0.2">
      <c r="A32" s="3">
        <v>46320</v>
      </c>
      <c r="B32">
        <v>7</v>
      </c>
      <c r="C32">
        <v>56.05</v>
      </c>
    </row>
    <row r="33" spans="1:3" x14ac:dyDescent="0.2">
      <c r="A33" s="3">
        <v>46320</v>
      </c>
      <c r="B33">
        <v>8</v>
      </c>
      <c r="C33">
        <v>55.3</v>
      </c>
    </row>
    <row r="34" spans="1:3" x14ac:dyDescent="0.2">
      <c r="A34" s="3">
        <v>46320</v>
      </c>
      <c r="B34">
        <v>9</v>
      </c>
      <c r="C34">
        <v>56.05</v>
      </c>
    </row>
    <row r="35" spans="1:3" x14ac:dyDescent="0.2">
      <c r="A35" s="3">
        <v>46320</v>
      </c>
      <c r="B35">
        <v>10</v>
      </c>
      <c r="C35">
        <v>58.25</v>
      </c>
    </row>
    <row r="36" spans="1:3" x14ac:dyDescent="0.2">
      <c r="A36" s="3">
        <v>46320</v>
      </c>
      <c r="B36">
        <v>11</v>
      </c>
      <c r="C36">
        <v>61.74</v>
      </c>
    </row>
    <row r="37" spans="1:3" x14ac:dyDescent="0.2">
      <c r="A37" s="3">
        <v>46320</v>
      </c>
      <c r="B37">
        <v>12</v>
      </c>
      <c r="C37">
        <v>66.3</v>
      </c>
    </row>
    <row r="38" spans="1:3" x14ac:dyDescent="0.2">
      <c r="A38" s="3">
        <v>46320</v>
      </c>
      <c r="B38">
        <v>13</v>
      </c>
      <c r="C38">
        <v>71.61</v>
      </c>
    </row>
    <row r="39" spans="1:3" x14ac:dyDescent="0.2">
      <c r="A39" s="3">
        <v>46320</v>
      </c>
      <c r="B39">
        <v>14</v>
      </c>
      <c r="C39">
        <v>77.3</v>
      </c>
    </row>
    <row r="40" spans="1:3" x14ac:dyDescent="0.2">
      <c r="A40" s="3">
        <v>46320</v>
      </c>
      <c r="B40">
        <v>15</v>
      </c>
      <c r="C40">
        <v>82.99</v>
      </c>
    </row>
    <row r="41" spans="1:3" x14ac:dyDescent="0.2">
      <c r="A41" s="3">
        <v>46320</v>
      </c>
      <c r="B41">
        <v>16</v>
      </c>
      <c r="C41">
        <v>88.3</v>
      </c>
    </row>
    <row r="42" spans="1:3" x14ac:dyDescent="0.2">
      <c r="A42" s="3">
        <v>46320</v>
      </c>
      <c r="B42">
        <v>17</v>
      </c>
      <c r="C42">
        <v>92.86</v>
      </c>
    </row>
    <row r="43" spans="1:3" x14ac:dyDescent="0.2">
      <c r="A43" s="3">
        <v>46320</v>
      </c>
      <c r="B43">
        <v>18</v>
      </c>
      <c r="C43">
        <v>96.35</v>
      </c>
    </row>
    <row r="44" spans="1:3" x14ac:dyDescent="0.2">
      <c r="A44" s="3">
        <v>46320</v>
      </c>
      <c r="B44">
        <v>19</v>
      </c>
      <c r="C44">
        <v>98.55</v>
      </c>
    </row>
    <row r="45" spans="1:3" x14ac:dyDescent="0.2">
      <c r="A45" s="3">
        <v>46320</v>
      </c>
      <c r="B45">
        <v>20</v>
      </c>
      <c r="C45">
        <v>99.3</v>
      </c>
    </row>
    <row r="46" spans="1:3" x14ac:dyDescent="0.2">
      <c r="A46" s="3">
        <v>46320</v>
      </c>
      <c r="B46">
        <v>21</v>
      </c>
      <c r="C46">
        <v>98.55</v>
      </c>
    </row>
    <row r="47" spans="1:3" x14ac:dyDescent="0.2">
      <c r="A47" s="3">
        <v>46320</v>
      </c>
      <c r="B47">
        <v>22</v>
      </c>
      <c r="C47">
        <v>96.35</v>
      </c>
    </row>
    <row r="48" spans="1:3" x14ac:dyDescent="0.2">
      <c r="A48" s="3">
        <v>46320</v>
      </c>
      <c r="B48">
        <v>23</v>
      </c>
      <c r="C48">
        <v>92.86</v>
      </c>
    </row>
    <row r="49" spans="1:3" x14ac:dyDescent="0.2">
      <c r="A49" s="3">
        <v>46320</v>
      </c>
      <c r="B49">
        <v>24</v>
      </c>
      <c r="C49">
        <v>88.3</v>
      </c>
    </row>
    <row r="50" spans="1:3" x14ac:dyDescent="0.2">
      <c r="A50" s="3">
        <v>46320</v>
      </c>
      <c r="B50">
        <v>25</v>
      </c>
      <c r="C50">
        <v>82.99</v>
      </c>
    </row>
    <row r="51" spans="1:3" x14ac:dyDescent="0.2">
      <c r="A51" s="3">
        <v>46321</v>
      </c>
      <c r="B51">
        <v>1</v>
      </c>
      <c r="C51">
        <v>82.29</v>
      </c>
    </row>
    <row r="52" spans="1:3" x14ac:dyDescent="0.2">
      <c r="A52" s="3">
        <v>46321</v>
      </c>
      <c r="B52">
        <v>2</v>
      </c>
      <c r="C52">
        <v>76.599999999999994</v>
      </c>
    </row>
    <row r="53" spans="1:3" x14ac:dyDescent="0.2">
      <c r="A53" s="3">
        <v>46321</v>
      </c>
      <c r="B53">
        <v>3</v>
      </c>
      <c r="C53">
        <v>70.91</v>
      </c>
    </row>
    <row r="54" spans="1:3" x14ac:dyDescent="0.2">
      <c r="A54" s="3">
        <v>46321</v>
      </c>
      <c r="B54">
        <v>4</v>
      </c>
      <c r="C54">
        <v>65.599999999999994</v>
      </c>
    </row>
    <row r="55" spans="1:3" x14ac:dyDescent="0.2">
      <c r="A55" s="3">
        <v>46321</v>
      </c>
      <c r="B55">
        <v>5</v>
      </c>
      <c r="C55">
        <v>61.04</v>
      </c>
    </row>
    <row r="56" spans="1:3" x14ac:dyDescent="0.2">
      <c r="A56" s="3">
        <v>46321</v>
      </c>
      <c r="B56">
        <v>6</v>
      </c>
      <c r="C56">
        <v>57.55</v>
      </c>
    </row>
    <row r="57" spans="1:3" x14ac:dyDescent="0.2">
      <c r="A57" s="3">
        <v>46321</v>
      </c>
      <c r="B57">
        <v>7</v>
      </c>
      <c r="C57">
        <v>55.35</v>
      </c>
    </row>
    <row r="58" spans="1:3" x14ac:dyDescent="0.2">
      <c r="A58" s="3">
        <v>46321</v>
      </c>
      <c r="B58">
        <v>8</v>
      </c>
      <c r="C58">
        <v>54.6</v>
      </c>
    </row>
    <row r="59" spans="1:3" x14ac:dyDescent="0.2">
      <c r="A59" s="3">
        <v>46321</v>
      </c>
      <c r="B59">
        <v>9</v>
      </c>
      <c r="C59">
        <v>55.35</v>
      </c>
    </row>
    <row r="60" spans="1:3" x14ac:dyDescent="0.2">
      <c r="A60" s="3">
        <v>46321</v>
      </c>
      <c r="B60">
        <v>10</v>
      </c>
      <c r="C60">
        <v>57.55</v>
      </c>
    </row>
    <row r="61" spans="1:3" x14ac:dyDescent="0.2">
      <c r="A61" s="3">
        <v>46321</v>
      </c>
      <c r="B61">
        <v>11</v>
      </c>
      <c r="C61">
        <v>61.04</v>
      </c>
    </row>
    <row r="62" spans="1:3" x14ac:dyDescent="0.2">
      <c r="A62" s="3">
        <v>46321</v>
      </c>
      <c r="B62">
        <v>12</v>
      </c>
      <c r="C62">
        <v>65.599999999999994</v>
      </c>
    </row>
    <row r="63" spans="1:3" x14ac:dyDescent="0.2">
      <c r="A63" s="3">
        <v>46321</v>
      </c>
      <c r="B63">
        <v>14</v>
      </c>
      <c r="C63">
        <v>76.599999999999994</v>
      </c>
    </row>
    <row r="64" spans="1:3" x14ac:dyDescent="0.2">
      <c r="A64" s="3">
        <v>46321</v>
      </c>
      <c r="B64">
        <v>15</v>
      </c>
      <c r="C64">
        <v>82.29</v>
      </c>
    </row>
    <row r="65" spans="1:3" x14ac:dyDescent="0.2">
      <c r="A65" s="3">
        <v>46321</v>
      </c>
      <c r="B65">
        <v>16</v>
      </c>
      <c r="C65">
        <v>87.6</v>
      </c>
    </row>
    <row r="66" spans="1:3" x14ac:dyDescent="0.2">
      <c r="A66" s="3">
        <v>46321</v>
      </c>
      <c r="B66">
        <v>17</v>
      </c>
      <c r="C66">
        <v>92.16</v>
      </c>
    </row>
    <row r="67" spans="1:3" x14ac:dyDescent="0.2">
      <c r="A67" s="3">
        <v>46321</v>
      </c>
      <c r="B67">
        <v>18</v>
      </c>
      <c r="C67">
        <v>95.65</v>
      </c>
    </row>
    <row r="68" spans="1:3" x14ac:dyDescent="0.2">
      <c r="A68" s="3">
        <v>46321</v>
      </c>
      <c r="B68">
        <v>19</v>
      </c>
      <c r="C68">
        <v>97.85</v>
      </c>
    </row>
    <row r="69" spans="1:3" x14ac:dyDescent="0.2">
      <c r="A69" s="3">
        <v>46321</v>
      </c>
      <c r="B69">
        <v>20</v>
      </c>
      <c r="C69">
        <v>98.6</v>
      </c>
    </row>
    <row r="70" spans="1:3" x14ac:dyDescent="0.2">
      <c r="A70" s="3">
        <v>46321</v>
      </c>
      <c r="B70">
        <v>21</v>
      </c>
      <c r="C70">
        <v>97.85</v>
      </c>
    </row>
    <row r="71" spans="1:3" x14ac:dyDescent="0.2">
      <c r="A71" s="3">
        <v>46321</v>
      </c>
      <c r="B71">
        <v>22</v>
      </c>
      <c r="C71">
        <v>95.65</v>
      </c>
    </row>
    <row r="72" spans="1:3" x14ac:dyDescent="0.2">
      <c r="A72" s="3">
        <v>46321</v>
      </c>
      <c r="B72">
        <v>23</v>
      </c>
      <c r="C72">
        <v>92.16</v>
      </c>
    </row>
    <row r="73" spans="1:3" x14ac:dyDescent="0.2">
      <c r="A73" s="3">
        <v>46321</v>
      </c>
      <c r="B73">
        <v>24</v>
      </c>
      <c r="C73">
        <v>87.6</v>
      </c>
    </row>
    <row r="74" spans="1:3" x14ac:dyDescent="0.2">
      <c r="A74" s="3">
        <v>46322</v>
      </c>
      <c r="B74">
        <v>1</v>
      </c>
      <c r="C74">
        <v>83.69</v>
      </c>
    </row>
    <row r="75" spans="1:3" x14ac:dyDescent="0.2">
      <c r="A75" s="3">
        <v>46322</v>
      </c>
      <c r="B75">
        <v>2</v>
      </c>
      <c r="C75">
        <v>78</v>
      </c>
    </row>
    <row r="76" spans="1:3" x14ac:dyDescent="0.2">
      <c r="A76" s="3">
        <v>46322</v>
      </c>
      <c r="B76">
        <v>3</v>
      </c>
      <c r="C76">
        <v>72.31</v>
      </c>
    </row>
    <row r="77" spans="1:3" x14ac:dyDescent="0.2">
      <c r="A77" s="3">
        <v>46322</v>
      </c>
      <c r="B77">
        <v>4</v>
      </c>
      <c r="C77">
        <v>67</v>
      </c>
    </row>
    <row r="78" spans="1:3" x14ac:dyDescent="0.2">
      <c r="A78" s="3">
        <v>46322</v>
      </c>
      <c r="B78">
        <v>5</v>
      </c>
      <c r="C78">
        <v>62.44</v>
      </c>
    </row>
    <row r="79" spans="1:3" x14ac:dyDescent="0.2">
      <c r="A79" s="3">
        <v>46322</v>
      </c>
      <c r="B79">
        <v>6</v>
      </c>
      <c r="C79">
        <v>58.95</v>
      </c>
    </row>
    <row r="80" spans="1:3" x14ac:dyDescent="0.2">
      <c r="A80" s="3">
        <v>46322</v>
      </c>
      <c r="B80">
        <v>7</v>
      </c>
      <c r="C80">
        <v>56.75</v>
      </c>
    </row>
    <row r="81" spans="1:3" x14ac:dyDescent="0.2">
      <c r="A81" s="3">
        <v>46322</v>
      </c>
      <c r="B81">
        <v>8</v>
      </c>
      <c r="C81">
        <v>56</v>
      </c>
    </row>
    <row r="82" spans="1:3" x14ac:dyDescent="0.2">
      <c r="A82" s="3">
        <v>46322</v>
      </c>
      <c r="B82">
        <v>9</v>
      </c>
      <c r="C82">
        <v>56.75</v>
      </c>
    </row>
    <row r="83" spans="1:3" x14ac:dyDescent="0.2">
      <c r="A83" s="3">
        <v>46322</v>
      </c>
      <c r="B83">
        <v>10</v>
      </c>
      <c r="C83">
        <v>58.95</v>
      </c>
    </row>
    <row r="84" spans="1:3" x14ac:dyDescent="0.2">
      <c r="A84" s="3">
        <v>46322</v>
      </c>
      <c r="B84">
        <v>11</v>
      </c>
      <c r="C84">
        <v>62.44</v>
      </c>
    </row>
    <row r="85" spans="1:3" x14ac:dyDescent="0.2">
      <c r="A85" s="3">
        <v>46322</v>
      </c>
      <c r="B85">
        <v>12</v>
      </c>
      <c r="C85">
        <v>67</v>
      </c>
    </row>
    <row r="86" spans="1:3" x14ac:dyDescent="0.2">
      <c r="A86" s="3">
        <v>46322</v>
      </c>
      <c r="B86">
        <v>13</v>
      </c>
      <c r="C86">
        <v>72.31</v>
      </c>
    </row>
    <row r="87" spans="1:3" x14ac:dyDescent="0.2">
      <c r="A87" s="3">
        <v>46322</v>
      </c>
      <c r="B87">
        <v>14</v>
      </c>
      <c r="C87">
        <v>78</v>
      </c>
    </row>
    <row r="88" spans="1:3" x14ac:dyDescent="0.2">
      <c r="A88" s="3">
        <v>46322</v>
      </c>
      <c r="B88">
        <v>15</v>
      </c>
      <c r="C88">
        <v>83.69</v>
      </c>
    </row>
    <row r="89" spans="1:3" x14ac:dyDescent="0.2">
      <c r="A89" s="3">
        <v>46322</v>
      </c>
      <c r="B89">
        <v>16</v>
      </c>
      <c r="C89">
        <v>89</v>
      </c>
    </row>
    <row r="90" spans="1:3" x14ac:dyDescent="0.2">
      <c r="A90" s="3">
        <v>46322</v>
      </c>
      <c r="B90">
        <v>17</v>
      </c>
      <c r="C90">
        <v>93.56</v>
      </c>
    </row>
    <row r="91" spans="1:3" x14ac:dyDescent="0.2">
      <c r="A91" s="3">
        <v>46322</v>
      </c>
      <c r="B91">
        <v>18</v>
      </c>
      <c r="C91">
        <v>97.05</v>
      </c>
    </row>
    <row r="92" spans="1:3" x14ac:dyDescent="0.2">
      <c r="A92" s="3">
        <v>46322</v>
      </c>
      <c r="B92">
        <v>19</v>
      </c>
      <c r="C92">
        <v>99.25</v>
      </c>
    </row>
    <row r="93" spans="1:3" x14ac:dyDescent="0.2">
      <c r="A93" s="3">
        <v>46322</v>
      </c>
      <c r="B93">
        <v>20</v>
      </c>
      <c r="C93">
        <v>100</v>
      </c>
    </row>
    <row r="94" spans="1:3" x14ac:dyDescent="0.2">
      <c r="A94" s="3">
        <v>46322</v>
      </c>
      <c r="B94">
        <v>21</v>
      </c>
      <c r="C94">
        <v>99.25</v>
      </c>
    </row>
    <row r="95" spans="1:3" x14ac:dyDescent="0.2">
      <c r="A95" s="3">
        <v>46322</v>
      </c>
      <c r="B95">
        <v>22</v>
      </c>
      <c r="C95">
        <v>97.05</v>
      </c>
    </row>
    <row r="96" spans="1:3" x14ac:dyDescent="0.2">
      <c r="A96" s="3">
        <v>46322</v>
      </c>
      <c r="B96">
        <v>23</v>
      </c>
      <c r="C96">
        <v>93.56</v>
      </c>
    </row>
    <row r="97" spans="1:3" x14ac:dyDescent="0.2">
      <c r="A97" s="3">
        <v>46322</v>
      </c>
      <c r="B97">
        <v>24</v>
      </c>
      <c r="C97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"/>
  <sheetViews>
    <sheetView tabSelected="1" workbookViewId="0">
      <selection activeCell="D4" sqref="D4"/>
    </sheetView>
  </sheetViews>
  <sheetFormatPr baseColWidth="10" defaultColWidth="8.83203125" defaultRowHeight="15" x14ac:dyDescent="0.2"/>
  <cols>
    <col min="1" max="6" width="16.6640625" customWidth="1"/>
  </cols>
  <sheetData>
    <row r="1" spans="1:6" x14ac:dyDescent="0.2">
      <c r="A1" s="1" t="s">
        <v>8</v>
      </c>
      <c r="B1" s="1" t="s">
        <v>13</v>
      </c>
      <c r="C1" s="1" t="s">
        <v>14</v>
      </c>
      <c r="D1" s="1" t="s">
        <v>11</v>
      </c>
      <c r="E1" s="1" t="s">
        <v>15</v>
      </c>
      <c r="F1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Parametros</vt:lpstr>
      <vt:lpstr>Medidas</vt:lpstr>
      <vt:lpstr>Precios</vt:lpstr>
      <vt:lpstr>Liquidacion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Jesús López</cp:lastModifiedBy>
  <dcterms:created xsi:type="dcterms:W3CDTF">2026-10-21T09:36:28Z</dcterms:created>
  <dcterms:modified xsi:type="dcterms:W3CDTF">2026-10-21T09:40:44Z</dcterms:modified>
</cp:coreProperties>
</file>